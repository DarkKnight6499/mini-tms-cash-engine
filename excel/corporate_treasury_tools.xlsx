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nk Fees" sheetId="1" state="visible" r:id="rId3"/>
    <sheet name="CCC" sheetId="2" state="visible" r:id="rId4"/>
    <sheet name="Discount" sheetId="3" state="visible" r:id="rId5"/>
    <sheet name="Buyback Cap" sheetId="4" state="visible" r:id="rId6"/>
  </sheets>
  <definedNames>
    <definedName function="false" hidden="true" localSheetId="0" name="_xlnm._FilterDatabase" vbProcedure="false">'Bank Fees'!$A$2:$Q$20</definedName>
    <definedName function="false" hidden="true" localSheetId="3" name="_xlnm._FilterDatabase" vbProcedure="false">'Buyback Cap'!$A$2:$G$3</definedName>
    <definedName function="false" hidden="true" localSheetId="1" name="_xlnm._FilterDatabase" vbProcedure="false">CCC!$A$2:$Q$17</definedName>
    <definedName function="false" hidden="true" localSheetId="2" name="_xlnm._FilterDatabase" vbProcedure="false">Discount!$A$2:$E$3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<sst xmlns="http://schemas.openxmlformats.org/spreadsheetml/2006/main" count="116" uniqueCount="54">
  <si>
    <t xml:space="preserve">Amounts in USD; CCC ratios in days. Illustrative inputs unless provenance states SEC 10-K.</t>
  </si>
  <si>
    <t xml:space="preserve">bank</t>
  </si>
  <si>
    <t xml:space="preserve">month</t>
  </si>
  <si>
    <t xml:space="preserve">average_ledger</t>
  </si>
  <si>
    <t xml:space="preserve">average_float</t>
  </si>
  <si>
    <t xml:space="preserve">average_collected</t>
  </si>
  <si>
    <t xml:space="preserve">ecr</t>
  </si>
  <si>
    <t xml:space="preserve">reserve_ratio</t>
  </si>
  <si>
    <t xml:space="preserve">days</t>
  </si>
  <si>
    <t xml:space="preserve">fees</t>
  </si>
  <si>
    <t xml:space="preserve">eca</t>
  </si>
  <si>
    <t xml:space="preserve">carry_excess_eca</t>
  </si>
  <si>
    <t xml:space="preserve">carry_in</t>
  </si>
  <si>
    <t xml:space="preserve">carry_out</t>
  </si>
  <si>
    <t xml:space="preserve">net_charge</t>
  </si>
  <si>
    <t xml:space="preserve">required_collected_balance</t>
  </si>
  <si>
    <t xml:space="preserve">money_fund_yield</t>
  </si>
  <si>
    <t xml:space="preserve">decision</t>
  </si>
  <si>
    <t xml:space="preserve">BANKA</t>
  </si>
  <si>
    <t xml:space="preserve">Pay fees and invest</t>
  </si>
  <si>
    <t xml:space="preserve">BANKB</t>
  </si>
  <si>
    <t xml:space="preserve">BANKC</t>
  </si>
  <si>
    <t xml:space="preserve">issuer</t>
  </si>
  <si>
    <t xml:space="preserve">fiscal_year</t>
  </si>
  <si>
    <t xml:space="preserve">ar_open</t>
  </si>
  <si>
    <t xml:space="preserve">ar</t>
  </si>
  <si>
    <t xml:space="preserve">inventory_open</t>
  </si>
  <si>
    <t xml:space="preserve">inventory</t>
  </si>
  <si>
    <t xml:space="preserve">ap_open</t>
  </si>
  <si>
    <t xml:space="preserve">ap</t>
  </si>
  <si>
    <t xml:space="preserve">revenue</t>
  </si>
  <si>
    <t xml:space="preserve">cogs</t>
  </si>
  <si>
    <t xml:space="preserve">use_average_balances</t>
  </si>
  <si>
    <t xml:space="preserve">dso</t>
  </si>
  <si>
    <t xml:space="preserve">dio</t>
  </si>
  <si>
    <t xml:space="preserve">dpo</t>
  </si>
  <si>
    <t xml:space="preserve">ccc</t>
  </si>
  <si>
    <t xml:space="preserve">provenance</t>
  </si>
  <si>
    <t xml:space="preserve">HAS</t>
  </si>
  <si>
    <t xml:space="preserve">Illustrative synthetic fixture; not issuer financial data</t>
  </si>
  <si>
    <t xml:space="preserve">WHR</t>
  </si>
  <si>
    <t xml:space="preserve">KSS</t>
  </si>
  <si>
    <t xml:space="preserve">discount</t>
  </si>
  <si>
    <t xml:space="preserve">discount_days</t>
  </si>
  <si>
    <t xml:space="preserve">net_days</t>
  </si>
  <si>
    <t xml:space="preserve">apr</t>
  </si>
  <si>
    <t xml:space="preserve">borrowing_rate</t>
  </si>
  <si>
    <t xml:space="preserve">date</t>
  </si>
  <si>
    <t xml:space="preserve">adtv</t>
  </si>
  <si>
    <t xml:space="preserve">regulatory_cap_fraction</t>
  </si>
  <si>
    <t xml:space="preserve">daily_volume_cap</t>
  </si>
  <si>
    <t xml:space="preserve">shares</t>
  </si>
  <si>
    <t xml:space="preserve">price</t>
  </si>
  <si>
    <t xml:space="preserve">spend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</si>
</sst>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"/>
    <numFmt numFmtId="166" formatCode="#,##0.00;\(#,##0.00\);0.00"/>
    <numFmt numFmtId="167" formatCode="0.00%"/>
    <numFmt numFmtId="168" formatCode="0"/>
    <numFmt numFmtId="169" formatCode="mm/dd/yy"/>
    <numFmt numFmtId="170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16" min="3" style="0" width="19"/>
    <col collapsed="false" customWidth="true" hidden="false" outlineLevel="0" max="17" min="17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true" outlineLevel="0" collapsed="false">
      <c r="A3" s="3" t="s">
        <v>18</v>
      </c>
      <c r="B3" s="4" t="n">
        <v>45658</v>
      </c>
      <c r="C3" s="5" t="n">
        <v>4270862</v>
      </c>
      <c r="D3" s="5" t="n">
        <v>628247</v>
      </c>
      <c r="E3" s="5" t="n">
        <f aca="false">C3-D3</f>
        <v>3642615</v>
      </c>
      <c r="F3" s="6" t="n">
        <v>0.02</v>
      </c>
      <c r="G3" s="6" t="n">
        <v>0</v>
      </c>
      <c r="H3" s="7" t="n">
        <v>31</v>
      </c>
      <c r="I3" s="5" t="n">
        <v>6817.41</v>
      </c>
      <c r="J3" s="5" t="n">
        <f aca="false">E3*F3*(1-G3)*H3/365</f>
        <v>6187.45561643836</v>
      </c>
      <c r="K3" s="8" t="b">
        <f aca="false">FALSE()</f>
        <v>0</v>
      </c>
      <c r="L3" s="5" t="n">
        <f aca="false">0</f>
        <v>0</v>
      </c>
      <c r="M3" s="5" t="n">
        <f aca="false">IF(K3,MAX(J3+L3-I3,0),0)</f>
        <v>0</v>
      </c>
      <c r="N3" s="5" t="n">
        <f aca="false">MAX(I3-J3-L3,0)</f>
        <v>629.954383561643</v>
      </c>
      <c r="O3" s="5" t="n">
        <f aca="false">IF(F3*(1-G3)*H3/365=0,IF(I3=0,0,"No finite balance"),I3/(F3*(1-G3)*H3/365))</f>
        <v>4013475.24193548</v>
      </c>
      <c r="P3" s="6" t="n">
        <v>0.045</v>
      </c>
      <c r="Q3" s="9" t="s">
        <v>19</v>
      </c>
    </row>
    <row r="4" customFormat="false" ht="15" hidden="false" customHeight="true" outlineLevel="0" collapsed="false">
      <c r="A4" s="3" t="s">
        <v>18</v>
      </c>
      <c r="B4" s="4" t="n">
        <v>45689</v>
      </c>
      <c r="C4" s="5" t="n">
        <v>3880719</v>
      </c>
      <c r="D4" s="5" t="n">
        <v>634727</v>
      </c>
      <c r="E4" s="5" t="n">
        <f aca="false">C4-D4</f>
        <v>3245992</v>
      </c>
      <c r="F4" s="6" t="n">
        <v>0.02</v>
      </c>
      <c r="G4" s="6" t="n">
        <v>0</v>
      </c>
      <c r="H4" s="7" t="n">
        <v>28</v>
      </c>
      <c r="I4" s="5" t="n">
        <v>6732.29</v>
      </c>
      <c r="J4" s="5" t="n">
        <f aca="false">E4*F4*(1-G4)*H4/365</f>
        <v>4980.15210958904</v>
      </c>
      <c r="K4" s="8" t="b">
        <f aca="false">FALSE()</f>
        <v>0</v>
      </c>
      <c r="L4" s="5" t="n">
        <f aca="false">IF(AND(K4,A4=A3),M3,0)</f>
        <v>0</v>
      </c>
      <c r="M4" s="5" t="n">
        <f aca="false">IF(K4,MAX(J4+L4-I4,0),0)</f>
        <v>0</v>
      </c>
      <c r="N4" s="5" t="n">
        <f aca="false">MAX(I4-J4-L4,0)</f>
        <v>1752.13789041096</v>
      </c>
      <c r="O4" s="5" t="n">
        <f aca="false">IF(F4*(1-G4)*H4/365=0,IF(I4=0,0,"No finite balance"),I4/(F4*(1-G4)*H4/365))</f>
        <v>4388010.44642857</v>
      </c>
      <c r="P4" s="6" t="n">
        <v>0.045</v>
      </c>
      <c r="Q4" s="9" t="s">
        <v>19</v>
      </c>
    </row>
    <row r="5" customFormat="false" ht="15" hidden="false" customHeight="true" outlineLevel="0" collapsed="false">
      <c r="A5" s="3" t="s">
        <v>18</v>
      </c>
      <c r="B5" s="4" t="n">
        <v>45717</v>
      </c>
      <c r="C5" s="5" t="n">
        <v>4553720</v>
      </c>
      <c r="D5" s="5" t="n">
        <v>437194</v>
      </c>
      <c r="E5" s="5" t="n">
        <f aca="false">C5-D5</f>
        <v>4116526</v>
      </c>
      <c r="F5" s="6" t="n">
        <v>0.02</v>
      </c>
      <c r="G5" s="6" t="n">
        <v>0</v>
      </c>
      <c r="H5" s="7" t="n">
        <v>31</v>
      </c>
      <c r="I5" s="5" t="n">
        <v>6781.16</v>
      </c>
      <c r="J5" s="5" t="n">
        <f aca="false">E5*F5*(1-G5)*H5/365</f>
        <v>6992.45512328767</v>
      </c>
      <c r="K5" s="8" t="b">
        <f aca="false">FALSE()</f>
        <v>0</v>
      </c>
      <c r="L5" s="5" t="n">
        <f aca="false">IF(AND(K5,A5=A4),M4,0)</f>
        <v>0</v>
      </c>
      <c r="M5" s="5" t="n">
        <f aca="false">IF(K5,MAX(J5+L5-I5,0),0)</f>
        <v>0</v>
      </c>
      <c r="N5" s="5" t="n">
        <f aca="false">MAX(I5-J5-L5,0)</f>
        <v>0</v>
      </c>
      <c r="O5" s="5" t="n">
        <f aca="false">IF(F5*(1-G5)*H5/365=0,IF(I5=0,0,"No finite balance"),I5/(F5*(1-G5)*H5/365))</f>
        <v>3992134.51612903</v>
      </c>
      <c r="P5" s="6" t="n">
        <v>0.045</v>
      </c>
      <c r="Q5" s="9" t="s">
        <v>19</v>
      </c>
    </row>
    <row r="6" customFormat="false" ht="15" hidden="false" customHeight="true" outlineLevel="0" collapsed="false">
      <c r="A6" s="3" t="s">
        <v>18</v>
      </c>
      <c r="B6" s="4" t="n">
        <v>45748</v>
      </c>
      <c r="C6" s="5" t="n">
        <v>4238782</v>
      </c>
      <c r="D6" s="5" t="n">
        <v>471939</v>
      </c>
      <c r="E6" s="5" t="n">
        <f aca="false">C6-D6</f>
        <v>3766843</v>
      </c>
      <c r="F6" s="6" t="n">
        <v>0.02</v>
      </c>
      <c r="G6" s="6" t="n">
        <v>0</v>
      </c>
      <c r="H6" s="7" t="n">
        <v>30</v>
      </c>
      <c r="I6" s="5" t="n">
        <v>6807.34</v>
      </c>
      <c r="J6" s="5" t="n">
        <f aca="false">E6*F6*(1-G6)*H6/365</f>
        <v>6192.07068493151</v>
      </c>
      <c r="K6" s="8" t="b">
        <f aca="false">FALSE()</f>
        <v>0</v>
      </c>
      <c r="L6" s="5" t="n">
        <f aca="false">IF(AND(K6,A6=A5),M5,0)</f>
        <v>0</v>
      </c>
      <c r="M6" s="5" t="n">
        <f aca="false">IF(K6,MAX(J6+L6-I6,0),0)</f>
        <v>0</v>
      </c>
      <c r="N6" s="5" t="n">
        <f aca="false">MAX(I6-J6-L6,0)</f>
        <v>615.269315068494</v>
      </c>
      <c r="O6" s="5" t="n">
        <f aca="false">IF(F6*(1-G6)*H6/365=0,IF(I6=0,0,"No finite balance"),I6/(F6*(1-G6)*H6/365))</f>
        <v>4141131.83333333</v>
      </c>
      <c r="P6" s="6" t="n">
        <v>0.045</v>
      </c>
      <c r="Q6" s="9" t="s">
        <v>19</v>
      </c>
    </row>
    <row r="7" customFormat="false" ht="15" hidden="false" customHeight="true" outlineLevel="0" collapsed="false">
      <c r="A7" s="3" t="s">
        <v>18</v>
      </c>
      <c r="B7" s="4" t="n">
        <v>45778</v>
      </c>
      <c r="C7" s="5" t="n">
        <v>4134796</v>
      </c>
      <c r="D7" s="5" t="n">
        <v>385447</v>
      </c>
      <c r="E7" s="5" t="n">
        <f aca="false">C7-D7</f>
        <v>3749349</v>
      </c>
      <c r="F7" s="6" t="n">
        <v>0.02</v>
      </c>
      <c r="G7" s="6" t="n">
        <v>0</v>
      </c>
      <c r="H7" s="7" t="n">
        <v>31</v>
      </c>
      <c r="I7" s="5" t="n">
        <v>6817.61</v>
      </c>
      <c r="J7" s="5" t="n">
        <f aca="false">E7*F7*(1-G7)*H7/365</f>
        <v>6368.75720547945</v>
      </c>
      <c r="K7" s="8" t="b">
        <f aca="false">FALSE()</f>
        <v>0</v>
      </c>
      <c r="L7" s="5" t="n">
        <f aca="false">IF(AND(K7,A7=A6),M6,0)</f>
        <v>0</v>
      </c>
      <c r="M7" s="5" t="n">
        <f aca="false">IF(K7,MAX(J7+L7-I7,0),0)</f>
        <v>0</v>
      </c>
      <c r="N7" s="5" t="n">
        <f aca="false">MAX(I7-J7-L7,0)</f>
        <v>448.852794520548</v>
      </c>
      <c r="O7" s="5" t="n">
        <f aca="false">IF(F7*(1-G7)*H7/365=0,IF(I7=0,0,"No finite balance"),I7/(F7*(1-G7)*H7/365))</f>
        <v>4013592.98387097</v>
      </c>
      <c r="P7" s="6" t="n">
        <v>0.045</v>
      </c>
      <c r="Q7" s="9" t="s">
        <v>19</v>
      </c>
    </row>
    <row r="8" customFormat="false" ht="15" hidden="false" customHeight="true" outlineLevel="0" collapsed="false">
      <c r="A8" s="3" t="s">
        <v>18</v>
      </c>
      <c r="B8" s="4" t="n">
        <v>45809</v>
      </c>
      <c r="C8" s="5" t="n">
        <v>4057547</v>
      </c>
      <c r="D8" s="5" t="n">
        <v>358783</v>
      </c>
      <c r="E8" s="5" t="n">
        <f aca="false">C8-D8</f>
        <v>3698764</v>
      </c>
      <c r="F8" s="6" t="n">
        <v>0.02</v>
      </c>
      <c r="G8" s="6" t="n">
        <v>0</v>
      </c>
      <c r="H8" s="7" t="n">
        <v>30</v>
      </c>
      <c r="I8" s="5" t="n">
        <v>11117.82</v>
      </c>
      <c r="J8" s="5" t="n">
        <f aca="false">E8*F8*(1-G8)*H8/365</f>
        <v>6080.16</v>
      </c>
      <c r="K8" s="8" t="b">
        <f aca="false">FALSE()</f>
        <v>0</v>
      </c>
      <c r="L8" s="5" t="n">
        <f aca="false">IF(AND(K8,A8=A7),M7,0)</f>
        <v>0</v>
      </c>
      <c r="M8" s="5" t="n">
        <f aca="false">IF(K8,MAX(J8+L8-I8,0),0)</f>
        <v>0</v>
      </c>
      <c r="N8" s="5" t="n">
        <f aca="false">MAX(I8-J8-L8,0)</f>
        <v>5037.66</v>
      </c>
      <c r="O8" s="5" t="n">
        <f aca="false">IF(F8*(1-G8)*H8/365=0,IF(I8=0,0,"No finite balance"),I8/(F8*(1-G8)*H8/365))</f>
        <v>6763340.5</v>
      </c>
      <c r="P8" s="6" t="n">
        <v>0.045</v>
      </c>
      <c r="Q8" s="9" t="s">
        <v>19</v>
      </c>
    </row>
    <row r="9" customFormat="false" ht="15" hidden="false" customHeight="true" outlineLevel="0" collapsed="false">
      <c r="A9" s="3" t="s">
        <v>20</v>
      </c>
      <c r="B9" s="4" t="n">
        <v>45658</v>
      </c>
      <c r="C9" s="5" t="n">
        <v>2353245</v>
      </c>
      <c r="D9" s="5" t="n">
        <v>228042</v>
      </c>
      <c r="E9" s="5" t="n">
        <f aca="false">C9-D9</f>
        <v>2125203</v>
      </c>
      <c r="F9" s="6" t="n">
        <v>0.02</v>
      </c>
      <c r="G9" s="6" t="n">
        <v>0</v>
      </c>
      <c r="H9" s="7" t="n">
        <v>31</v>
      </c>
      <c r="I9" s="5" t="n">
        <v>7698.8935</v>
      </c>
      <c r="J9" s="5" t="n">
        <f aca="false">E9*F9*(1-G9)*H9/365</f>
        <v>3609.9338630137</v>
      </c>
      <c r="K9" s="8" t="b">
        <f aca="false">FALSE()</f>
        <v>0</v>
      </c>
      <c r="L9" s="5" t="n">
        <f aca="false">IF(AND(K9,A9=A8),M8,0)</f>
        <v>0</v>
      </c>
      <c r="M9" s="5" t="n">
        <f aca="false">IF(K9,MAX(J9+L9-I9,0),0)</f>
        <v>0</v>
      </c>
      <c r="N9" s="5" t="n">
        <f aca="false">MAX(I9-J9-L9,0)</f>
        <v>4088.9596369863</v>
      </c>
      <c r="O9" s="5" t="n">
        <f aca="false">IF(F9*(1-G9)*H9/365=0,IF(I9=0,0,"No finite balance"),I9/(F9*(1-G9)*H9/365))</f>
        <v>4532413.10887097</v>
      </c>
      <c r="P9" s="6" t="n">
        <v>0.045</v>
      </c>
      <c r="Q9" s="9" t="s">
        <v>19</v>
      </c>
    </row>
    <row r="10" customFormat="false" ht="15" hidden="false" customHeight="true" outlineLevel="0" collapsed="false">
      <c r="A10" s="3" t="s">
        <v>20</v>
      </c>
      <c r="B10" s="4" t="n">
        <v>45689</v>
      </c>
      <c r="C10" s="5" t="n">
        <v>4938620</v>
      </c>
      <c r="D10" s="5" t="n">
        <v>566969</v>
      </c>
      <c r="E10" s="5" t="n">
        <f aca="false">C10-D10</f>
        <v>4371651</v>
      </c>
      <c r="F10" s="6" t="n">
        <v>0.02</v>
      </c>
      <c r="G10" s="6" t="n">
        <v>0</v>
      </c>
      <c r="H10" s="7" t="n">
        <v>28</v>
      </c>
      <c r="I10" s="5" t="n">
        <v>7903.8465</v>
      </c>
      <c r="J10" s="5" t="n">
        <f aca="false">E10*F10*(1-G10)*H10/365</f>
        <v>6707.19057534247</v>
      </c>
      <c r="K10" s="8" t="b">
        <f aca="false">FALSE()</f>
        <v>0</v>
      </c>
      <c r="L10" s="5" t="n">
        <f aca="false">IF(AND(K10,A10=A9),M9,0)</f>
        <v>0</v>
      </c>
      <c r="M10" s="5" t="n">
        <f aca="false">IF(K10,MAX(J10+L10-I10,0),0)</f>
        <v>0</v>
      </c>
      <c r="N10" s="5" t="n">
        <f aca="false">MAX(I10-J10-L10,0)</f>
        <v>1196.65592465753</v>
      </c>
      <c r="O10" s="5" t="n">
        <f aca="false">IF(F10*(1-G10)*H10/365=0,IF(I10=0,0,"No finite balance"),I10/(F10*(1-G10)*H10/365))</f>
        <v>5151614.23660714</v>
      </c>
      <c r="P10" s="6" t="n">
        <v>0.045</v>
      </c>
      <c r="Q10" s="9" t="s">
        <v>19</v>
      </c>
    </row>
    <row r="11" customFormat="false" ht="15" hidden="false" customHeight="true" outlineLevel="0" collapsed="false">
      <c r="A11" s="3" t="s">
        <v>20</v>
      </c>
      <c r="B11" s="4" t="n">
        <v>45717</v>
      </c>
      <c r="C11" s="5" t="n">
        <v>1724329</v>
      </c>
      <c r="D11" s="5" t="n">
        <v>309901</v>
      </c>
      <c r="E11" s="5" t="n">
        <f aca="false">C11-D11</f>
        <v>1414428</v>
      </c>
      <c r="F11" s="6" t="n">
        <v>0.02</v>
      </c>
      <c r="G11" s="6" t="n">
        <v>0</v>
      </c>
      <c r="H11" s="7" t="n">
        <v>31</v>
      </c>
      <c r="I11" s="5" t="n">
        <v>7910.4935</v>
      </c>
      <c r="J11" s="5" t="n">
        <f aca="false">E11*F11*(1-G11)*H11/365</f>
        <v>2402.59002739726</v>
      </c>
      <c r="K11" s="8" t="b">
        <f aca="false">FALSE()</f>
        <v>0</v>
      </c>
      <c r="L11" s="5" t="n">
        <f aca="false">IF(AND(K11,A11=A10),M10,0)</f>
        <v>0</v>
      </c>
      <c r="M11" s="5" t="n">
        <f aca="false">IF(K11,MAX(J11+L11-I11,0),0)</f>
        <v>0</v>
      </c>
      <c r="N11" s="5" t="n">
        <f aca="false">MAX(I11-J11-L11,0)</f>
        <v>5507.90347260274</v>
      </c>
      <c r="O11" s="5" t="n">
        <f aca="false">IF(F11*(1-G11)*H11/365=0,IF(I11=0,0,"No finite balance"),I11/(F11*(1-G11)*H11/365))</f>
        <v>4656984.0766129</v>
      </c>
      <c r="P11" s="6" t="n">
        <v>0.045</v>
      </c>
      <c r="Q11" s="9" t="s">
        <v>19</v>
      </c>
    </row>
    <row r="12" customFormat="false" ht="15" hidden="false" customHeight="true" outlineLevel="0" collapsed="false">
      <c r="A12" s="3" t="s">
        <v>20</v>
      </c>
      <c r="B12" s="4" t="n">
        <v>45748</v>
      </c>
      <c r="C12" s="5" t="n">
        <v>1060504</v>
      </c>
      <c r="D12" s="5" t="n">
        <v>426344</v>
      </c>
      <c r="E12" s="5" t="n">
        <f aca="false">C12-D12</f>
        <v>634160</v>
      </c>
      <c r="F12" s="6" t="n">
        <v>0.02</v>
      </c>
      <c r="G12" s="6" t="n">
        <v>0</v>
      </c>
      <c r="H12" s="7" t="n">
        <v>30</v>
      </c>
      <c r="I12" s="5" t="n">
        <v>7692.5455</v>
      </c>
      <c r="J12" s="5" t="n">
        <f aca="false">E12*F12*(1-G12)*H12/365</f>
        <v>1042.45479452055</v>
      </c>
      <c r="K12" s="8" t="b">
        <f aca="false">FALSE()</f>
        <v>0</v>
      </c>
      <c r="L12" s="5" t="n">
        <f aca="false">IF(AND(K12,A12=A11),M11,0)</f>
        <v>0</v>
      </c>
      <c r="M12" s="5" t="n">
        <f aca="false">IF(K12,MAX(J12+L12-I12,0),0)</f>
        <v>0</v>
      </c>
      <c r="N12" s="5" t="n">
        <f aca="false">MAX(I12-J12-L12,0)</f>
        <v>6650.09070547945</v>
      </c>
      <c r="O12" s="5" t="n">
        <f aca="false">IF(F12*(1-G12)*H12/365=0,IF(I12=0,0,"No finite balance"),I12/(F12*(1-G12)*H12/365))</f>
        <v>4679631.84583333</v>
      </c>
      <c r="P12" s="6" t="n">
        <v>0.045</v>
      </c>
      <c r="Q12" s="9" t="s">
        <v>19</v>
      </c>
    </row>
    <row r="13" customFormat="false" ht="15" hidden="false" customHeight="true" outlineLevel="0" collapsed="false">
      <c r="A13" s="3" t="s">
        <v>20</v>
      </c>
      <c r="B13" s="4" t="n">
        <v>45778</v>
      </c>
      <c r="C13" s="5" t="n">
        <v>2449386</v>
      </c>
      <c r="D13" s="5" t="n">
        <v>674335</v>
      </c>
      <c r="E13" s="5" t="n">
        <f aca="false">C13-D13</f>
        <v>1775051</v>
      </c>
      <c r="F13" s="6" t="n">
        <v>0.02</v>
      </c>
      <c r="G13" s="6" t="n">
        <v>0</v>
      </c>
      <c r="H13" s="7" t="n">
        <v>31</v>
      </c>
      <c r="I13" s="5" t="n">
        <v>7691.108</v>
      </c>
      <c r="J13" s="5" t="n">
        <f aca="false">E13*F13*(1-G13)*H13/365</f>
        <v>3015.15512328767</v>
      </c>
      <c r="K13" s="8" t="b">
        <f aca="false">FALSE()</f>
        <v>0</v>
      </c>
      <c r="L13" s="5" t="n">
        <f aca="false">IF(AND(K13,A13=A12),M12,0)</f>
        <v>0</v>
      </c>
      <c r="M13" s="5" t="n">
        <f aca="false">IF(K13,MAX(J13+L13-I13,0),0)</f>
        <v>0</v>
      </c>
      <c r="N13" s="5" t="n">
        <f aca="false">MAX(I13-J13-L13,0)</f>
        <v>4675.95287671233</v>
      </c>
      <c r="O13" s="5" t="n">
        <f aca="false">IF(F13*(1-G13)*H13/365=0,IF(I13=0,0,"No finite balance"),I13/(F13*(1-G13)*H13/365))</f>
        <v>4527829.70967742</v>
      </c>
      <c r="P13" s="6" t="n">
        <v>0.045</v>
      </c>
      <c r="Q13" s="9" t="s">
        <v>19</v>
      </c>
    </row>
    <row r="14" customFormat="false" ht="15" hidden="false" customHeight="true" outlineLevel="0" collapsed="false">
      <c r="A14" s="3" t="s">
        <v>20</v>
      </c>
      <c r="B14" s="4" t="n">
        <v>45809</v>
      </c>
      <c r="C14" s="5" t="n">
        <v>3456944</v>
      </c>
      <c r="D14" s="5" t="n">
        <v>617716</v>
      </c>
      <c r="E14" s="5" t="n">
        <f aca="false">C14-D14</f>
        <v>2839228</v>
      </c>
      <c r="F14" s="6" t="n">
        <v>0.02</v>
      </c>
      <c r="G14" s="6" t="n">
        <v>0</v>
      </c>
      <c r="H14" s="7" t="n">
        <v>30</v>
      </c>
      <c r="I14" s="5" t="n">
        <v>8399.002</v>
      </c>
      <c r="J14" s="5" t="n">
        <f aca="false">E14*F14*(1-G14)*H14/365</f>
        <v>4667.22410958904</v>
      </c>
      <c r="K14" s="8" t="b">
        <f aca="false">FALSE()</f>
        <v>0</v>
      </c>
      <c r="L14" s="5" t="n">
        <f aca="false">IF(AND(K14,A14=A13),M13,0)</f>
        <v>0</v>
      </c>
      <c r="M14" s="5" t="n">
        <f aca="false">IF(K14,MAX(J14+L14-I14,0),0)</f>
        <v>0</v>
      </c>
      <c r="N14" s="5" t="n">
        <f aca="false">MAX(I14-J14-L14,0)</f>
        <v>3731.77789041096</v>
      </c>
      <c r="O14" s="5" t="n">
        <f aca="false">IF(F14*(1-G14)*H14/365=0,IF(I14=0,0,"No finite balance"),I14/(F14*(1-G14)*H14/365))</f>
        <v>5109392.88333333</v>
      </c>
      <c r="P14" s="6" t="n">
        <v>0.045</v>
      </c>
      <c r="Q14" s="9" t="s">
        <v>19</v>
      </c>
    </row>
    <row r="15" customFormat="false" ht="15" hidden="false" customHeight="true" outlineLevel="0" collapsed="false">
      <c r="A15" s="3" t="s">
        <v>21</v>
      </c>
      <c r="B15" s="4" t="n">
        <v>45658</v>
      </c>
      <c r="C15" s="5" t="n">
        <v>1704279</v>
      </c>
      <c r="D15" s="5" t="n">
        <v>652779</v>
      </c>
      <c r="E15" s="5" t="n">
        <f aca="false">C15-D15</f>
        <v>1051500</v>
      </c>
      <c r="F15" s="6" t="n">
        <v>0.02</v>
      </c>
      <c r="G15" s="6" t="n">
        <v>0</v>
      </c>
      <c r="H15" s="7" t="n">
        <v>31</v>
      </c>
      <c r="I15" s="5" t="n">
        <v>6136.191</v>
      </c>
      <c r="J15" s="5" t="n">
        <f aca="false">E15*F15*(1-G15)*H15/365</f>
        <v>1786.1095890411</v>
      </c>
      <c r="K15" s="8" t="b">
        <f aca="false">FALSE()</f>
        <v>0</v>
      </c>
      <c r="L15" s="5" t="n">
        <f aca="false">IF(AND(K15,A15=A14),M14,0)</f>
        <v>0</v>
      </c>
      <c r="M15" s="5" t="n">
        <f aca="false">IF(K15,MAX(J15+L15-I15,0),0)</f>
        <v>0</v>
      </c>
      <c r="N15" s="5" t="n">
        <f aca="false">MAX(I15-J15-L15,0)</f>
        <v>4350.0814109589</v>
      </c>
      <c r="O15" s="5" t="n">
        <f aca="false">IF(F15*(1-G15)*H15/365=0,IF(I15=0,0,"No finite balance"),I15/(F15*(1-G15)*H15/365))</f>
        <v>3612435.02419355</v>
      </c>
      <c r="P15" s="6" t="n">
        <v>0.045</v>
      </c>
      <c r="Q15" s="9" t="s">
        <v>19</v>
      </c>
    </row>
    <row r="16" customFormat="false" ht="15" hidden="false" customHeight="true" outlineLevel="0" collapsed="false">
      <c r="A16" s="3" t="s">
        <v>21</v>
      </c>
      <c r="B16" s="4" t="n">
        <v>45689</v>
      </c>
      <c r="C16" s="5" t="n">
        <v>1366543</v>
      </c>
      <c r="D16" s="5" t="n">
        <v>573004</v>
      </c>
      <c r="E16" s="5" t="n">
        <f aca="false">C16-D16</f>
        <v>793539</v>
      </c>
      <c r="F16" s="6" t="n">
        <v>0.02</v>
      </c>
      <c r="G16" s="6" t="n">
        <v>0</v>
      </c>
      <c r="H16" s="7" t="n">
        <v>28</v>
      </c>
      <c r="I16" s="5" t="n">
        <v>6012.027</v>
      </c>
      <c r="J16" s="5" t="n">
        <f aca="false">E16*F16*(1-G16)*H16/365</f>
        <v>1217.48449315069</v>
      </c>
      <c r="K16" s="8" t="b">
        <f aca="false">FALSE()</f>
        <v>0</v>
      </c>
      <c r="L16" s="5" t="n">
        <f aca="false">IF(AND(K16,A16=A15),M15,0)</f>
        <v>0</v>
      </c>
      <c r="M16" s="5" t="n">
        <f aca="false">IF(K16,MAX(J16+L16-I16,0),0)</f>
        <v>0</v>
      </c>
      <c r="N16" s="5" t="n">
        <f aca="false">MAX(I16-J16-L16,0)</f>
        <v>4794.54250684932</v>
      </c>
      <c r="O16" s="5" t="n">
        <f aca="false">IF(F16*(1-G16)*H16/365=0,IF(I16=0,0,"No finite balance"),I16/(F16*(1-G16)*H16/365))</f>
        <v>3918553.3125</v>
      </c>
      <c r="P16" s="6" t="n">
        <v>0.045</v>
      </c>
      <c r="Q16" s="9" t="s">
        <v>19</v>
      </c>
    </row>
    <row r="17" customFormat="false" ht="15" hidden="false" customHeight="true" outlineLevel="0" collapsed="false">
      <c r="A17" s="3" t="s">
        <v>21</v>
      </c>
      <c r="B17" s="4" t="n">
        <v>45717</v>
      </c>
      <c r="C17" s="5" t="n">
        <v>5353598</v>
      </c>
      <c r="D17" s="5" t="n">
        <v>536920</v>
      </c>
      <c r="E17" s="5" t="n">
        <f aca="false">C17-D17</f>
        <v>4816678</v>
      </c>
      <c r="F17" s="6" t="n">
        <v>0.02</v>
      </c>
      <c r="G17" s="6" t="n">
        <v>0</v>
      </c>
      <c r="H17" s="7" t="n">
        <v>31</v>
      </c>
      <c r="I17" s="5" t="n">
        <v>5779.314</v>
      </c>
      <c r="J17" s="5" t="n">
        <f aca="false">E17*F17*(1-G17)*H17/365</f>
        <v>8181.7544109589</v>
      </c>
      <c r="K17" s="8" t="b">
        <f aca="false">FALSE()</f>
        <v>0</v>
      </c>
      <c r="L17" s="5" t="n">
        <f aca="false">IF(AND(K17,A17=A16),M16,0)</f>
        <v>0</v>
      </c>
      <c r="M17" s="5" t="n">
        <f aca="false">IF(K17,MAX(J17+L17-I17,0),0)</f>
        <v>0</v>
      </c>
      <c r="N17" s="5" t="n">
        <f aca="false">MAX(I17-J17-L17,0)</f>
        <v>0</v>
      </c>
      <c r="O17" s="5" t="n">
        <f aca="false">IF(F17*(1-G17)*H17/365=0,IF(I17=0,0,"No finite balance"),I17/(F17*(1-G17)*H17/365))</f>
        <v>3402338.08064516</v>
      </c>
      <c r="P17" s="6" t="n">
        <v>0.045</v>
      </c>
      <c r="Q17" s="9" t="s">
        <v>19</v>
      </c>
    </row>
    <row r="18" customFormat="false" ht="15" hidden="false" customHeight="true" outlineLevel="0" collapsed="false">
      <c r="A18" s="3" t="s">
        <v>21</v>
      </c>
      <c r="B18" s="4" t="n">
        <v>45748</v>
      </c>
      <c r="C18" s="5" t="n">
        <v>1014118</v>
      </c>
      <c r="D18" s="5" t="n">
        <v>305093</v>
      </c>
      <c r="E18" s="5" t="n">
        <f aca="false">C18-D18</f>
        <v>709025</v>
      </c>
      <c r="F18" s="6" t="n">
        <v>0.02</v>
      </c>
      <c r="G18" s="6" t="n">
        <v>0</v>
      </c>
      <c r="H18" s="7" t="n">
        <v>30</v>
      </c>
      <c r="I18" s="5" t="n">
        <v>5881.554</v>
      </c>
      <c r="J18" s="5" t="n">
        <f aca="false">E18*F18*(1-G18)*H18/365</f>
        <v>1165.52054794521</v>
      </c>
      <c r="K18" s="8" t="b">
        <f aca="false">FALSE()</f>
        <v>0</v>
      </c>
      <c r="L18" s="5" t="n">
        <f aca="false">IF(AND(K18,A18=A17),M17,0)</f>
        <v>0</v>
      </c>
      <c r="M18" s="5" t="n">
        <f aca="false">IF(K18,MAX(J18+L18-I18,0),0)</f>
        <v>0</v>
      </c>
      <c r="N18" s="5" t="n">
        <f aca="false">MAX(I18-J18-L18,0)</f>
        <v>4716.0334520548</v>
      </c>
      <c r="O18" s="5" t="n">
        <f aca="false">IF(F18*(1-G18)*H18/365=0,IF(I18=0,0,"No finite balance"),I18/(F18*(1-G18)*H18/365))</f>
        <v>3577945.35</v>
      </c>
      <c r="P18" s="6" t="n">
        <v>0.045</v>
      </c>
      <c r="Q18" s="9" t="s">
        <v>19</v>
      </c>
    </row>
    <row r="19" customFormat="false" ht="15" hidden="false" customHeight="true" outlineLevel="0" collapsed="false">
      <c r="A19" s="3" t="s">
        <v>21</v>
      </c>
      <c r="B19" s="4" t="n">
        <v>45778</v>
      </c>
      <c r="C19" s="5" t="n">
        <v>4472353</v>
      </c>
      <c r="D19" s="5" t="n">
        <v>496316</v>
      </c>
      <c r="E19" s="5" t="n">
        <f aca="false">C19-D19</f>
        <v>3976037</v>
      </c>
      <c r="F19" s="6" t="n">
        <v>0.02</v>
      </c>
      <c r="G19" s="6" t="n">
        <v>0</v>
      </c>
      <c r="H19" s="7" t="n">
        <v>31</v>
      </c>
      <c r="I19" s="5" t="n">
        <v>6134.499</v>
      </c>
      <c r="J19" s="5" t="n">
        <f aca="false">E19*F19*(1-G19)*H19/365</f>
        <v>6753.8162739726</v>
      </c>
      <c r="K19" s="8" t="b">
        <f aca="false">FALSE()</f>
        <v>0</v>
      </c>
      <c r="L19" s="5" t="n">
        <f aca="false">IF(AND(K19,A19=A18),M18,0)</f>
        <v>0</v>
      </c>
      <c r="M19" s="5" t="n">
        <f aca="false">IF(K19,MAX(J19+L19-I19,0),0)</f>
        <v>0</v>
      </c>
      <c r="N19" s="5" t="n">
        <f aca="false">MAX(I19-J19-L19,0)</f>
        <v>0</v>
      </c>
      <c r="O19" s="5" t="n">
        <f aca="false">IF(F19*(1-G19)*H19/365=0,IF(I19=0,0,"No finite balance"),I19/(F19*(1-G19)*H19/365))</f>
        <v>3611438.92741935</v>
      </c>
      <c r="P19" s="6" t="n">
        <v>0.045</v>
      </c>
      <c r="Q19" s="9" t="s">
        <v>19</v>
      </c>
    </row>
    <row r="20" customFormat="false" ht="15" hidden="false" customHeight="true" outlineLevel="0" collapsed="false">
      <c r="A20" s="3" t="s">
        <v>21</v>
      </c>
      <c r="B20" s="4" t="n">
        <v>45809</v>
      </c>
      <c r="C20" s="5" t="n">
        <v>4750449</v>
      </c>
      <c r="D20" s="5" t="n">
        <v>143655</v>
      </c>
      <c r="E20" s="5" t="n">
        <f aca="false">C20-D20</f>
        <v>4606794</v>
      </c>
      <c r="F20" s="6" t="n">
        <v>0.02</v>
      </c>
      <c r="G20" s="6" t="n">
        <v>0</v>
      </c>
      <c r="H20" s="7" t="n">
        <v>30</v>
      </c>
      <c r="I20" s="5" t="n">
        <v>6090.498</v>
      </c>
      <c r="J20" s="5" t="n">
        <f aca="false">E20*F20*(1-G20)*H20/365</f>
        <v>7572.81205479452</v>
      </c>
      <c r="K20" s="8" t="b">
        <f aca="false">FALSE()</f>
        <v>0</v>
      </c>
      <c r="L20" s="5" t="n">
        <f aca="false">IF(AND(K20,A20=A19),M19,0)</f>
        <v>0</v>
      </c>
      <c r="M20" s="5" t="n">
        <f aca="false">IF(K20,MAX(J20+L20-I20,0),0)</f>
        <v>0</v>
      </c>
      <c r="N20" s="5" t="n">
        <f aca="false">MAX(I20-J20-L20,0)</f>
        <v>0</v>
      </c>
      <c r="O20" s="5" t="n">
        <f aca="false">IF(F20*(1-G20)*H20/365=0,IF(I20=0,0,"No finite balance"),I20/(F20*(1-G20)*H20/365))</f>
        <v>3705052.95</v>
      </c>
      <c r="P20" s="6" t="n">
        <v>0.045</v>
      </c>
      <c r="Q20" s="9" t="s">
        <v>19</v>
      </c>
    </row>
  </sheetData>
  <autoFilter ref="A2:Q20"/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6" min="2" style="0" width="19"/>
    <col collapsed="false" customWidth="true" hidden="false" outlineLevel="0" max="17" min="17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1.5" hidden="false" customHeight="true" outlineLevel="0" collapsed="false">
      <c r="A2" s="2" t="s">
        <v>22</v>
      </c>
      <c r="B2" s="2" t="s">
        <v>23</v>
      </c>
      <c r="C2" s="2" t="s">
        <v>8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</row>
    <row r="3" customFormat="false" ht="30" hidden="false" customHeight="true" outlineLevel="0" collapsed="false">
      <c r="A3" s="3" t="s">
        <v>38</v>
      </c>
      <c r="B3" s="7" t="n">
        <v>2020</v>
      </c>
      <c r="C3" s="7" t="n">
        <v>366</v>
      </c>
      <c r="D3" s="5" t="n">
        <v>90</v>
      </c>
      <c r="E3" s="5" t="n">
        <v>100</v>
      </c>
      <c r="F3" s="5" t="n">
        <v>70</v>
      </c>
      <c r="G3" s="5" t="n">
        <v>80</v>
      </c>
      <c r="H3" s="5" t="n">
        <v>50</v>
      </c>
      <c r="I3" s="5" t="n">
        <v>60</v>
      </c>
      <c r="J3" s="5" t="n">
        <v>1000</v>
      </c>
      <c r="K3" s="5" t="n">
        <v>600</v>
      </c>
      <c r="L3" s="8" t="b">
        <f aca="false">TRUE()</f>
        <v>1</v>
      </c>
      <c r="M3" s="5" t="n">
        <f aca="false">IF(L3,(E3+D3)/2,E3)/J3*C3</f>
        <v>34.77</v>
      </c>
      <c r="N3" s="5" t="n">
        <f aca="false">IF(L3,(G3+F3)/2,G3)/K3*C3</f>
        <v>45.75</v>
      </c>
      <c r="O3" s="5" t="n">
        <f aca="false">IF(L3,(I3+H3)/2,I3)/K3*C3</f>
        <v>33.55</v>
      </c>
      <c r="P3" s="5" t="n">
        <f aca="false">M3+N3-O3</f>
        <v>46.97</v>
      </c>
      <c r="Q3" s="9" t="s">
        <v>39</v>
      </c>
    </row>
    <row r="4" customFormat="false" ht="30" hidden="false" customHeight="true" outlineLevel="0" collapsed="false">
      <c r="A4" s="3" t="s">
        <v>38</v>
      </c>
      <c r="B4" s="7" t="n">
        <v>2021</v>
      </c>
      <c r="C4" s="7" t="n">
        <v>365</v>
      </c>
      <c r="D4" s="5" t="n">
        <v>100</v>
      </c>
      <c r="E4" s="5" t="n">
        <v>110</v>
      </c>
      <c r="F4" s="5" t="n">
        <v>80</v>
      </c>
      <c r="G4" s="5" t="n">
        <v>84</v>
      </c>
      <c r="H4" s="5" t="n">
        <v>60</v>
      </c>
      <c r="I4" s="5" t="n">
        <v>62</v>
      </c>
      <c r="J4" s="5" t="n">
        <v>1100</v>
      </c>
      <c r="K4" s="5" t="n">
        <v>660</v>
      </c>
      <c r="L4" s="8" t="b">
        <f aca="false">TRUE()</f>
        <v>1</v>
      </c>
      <c r="M4" s="5" t="n">
        <f aca="false">IF(L4,(E4+D4)/2,E4)/J4*C4</f>
        <v>34.8409090909091</v>
      </c>
      <c r="N4" s="5" t="n">
        <f aca="false">IF(L4,(G4+F4)/2,G4)/K4*C4</f>
        <v>45.3484848484848</v>
      </c>
      <c r="O4" s="5" t="n">
        <f aca="false">IF(L4,(I4+H4)/2,I4)/K4*C4</f>
        <v>33.7348484848485</v>
      </c>
      <c r="P4" s="5" t="n">
        <f aca="false">M4+N4-O4</f>
        <v>46.4545454545455</v>
      </c>
      <c r="Q4" s="9" t="s">
        <v>39</v>
      </c>
    </row>
    <row r="5" customFormat="false" ht="30" hidden="false" customHeight="true" outlineLevel="0" collapsed="false">
      <c r="A5" s="3" t="s">
        <v>38</v>
      </c>
      <c r="B5" s="7" t="n">
        <v>2022</v>
      </c>
      <c r="C5" s="7" t="n">
        <v>365</v>
      </c>
      <c r="D5" s="5" t="n">
        <v>110</v>
      </c>
      <c r="E5" s="5" t="n">
        <v>105</v>
      </c>
      <c r="F5" s="5" t="n">
        <v>84</v>
      </c>
      <c r="G5" s="5" t="n">
        <v>90</v>
      </c>
      <c r="H5" s="5" t="n">
        <v>62</v>
      </c>
      <c r="I5" s="5" t="n">
        <v>65</v>
      </c>
      <c r="J5" s="5" t="n">
        <v>1150</v>
      </c>
      <c r="K5" s="5" t="n">
        <v>690</v>
      </c>
      <c r="L5" s="8" t="b">
        <f aca="false">TRUE()</f>
        <v>1</v>
      </c>
      <c r="M5" s="5" t="n">
        <f aca="false">IF(L5,(E5+D5)/2,E5)/J5*C5</f>
        <v>34.1195652173913</v>
      </c>
      <c r="N5" s="5" t="n">
        <f aca="false">IF(L5,(G5+F5)/2,G5)/K5*C5</f>
        <v>46.0217391304348</v>
      </c>
      <c r="O5" s="5" t="n">
        <f aca="false">IF(L5,(I5+H5)/2,I5)/K5*C5</f>
        <v>33.5905797101449</v>
      </c>
      <c r="P5" s="5" t="n">
        <f aca="false">M5+N5-O5</f>
        <v>46.5507246376812</v>
      </c>
      <c r="Q5" s="9" t="s">
        <v>39</v>
      </c>
    </row>
    <row r="6" customFormat="false" ht="30" hidden="false" customHeight="true" outlineLevel="0" collapsed="false">
      <c r="A6" s="3" t="s">
        <v>38</v>
      </c>
      <c r="B6" s="7" t="n">
        <v>2023</v>
      </c>
      <c r="C6" s="7" t="n">
        <v>365</v>
      </c>
      <c r="D6" s="5" t="n">
        <v>105</v>
      </c>
      <c r="E6" s="5" t="n">
        <v>115</v>
      </c>
      <c r="F6" s="5" t="n">
        <v>90</v>
      </c>
      <c r="G6" s="5" t="n">
        <v>86</v>
      </c>
      <c r="H6" s="5" t="n">
        <v>65</v>
      </c>
      <c r="I6" s="5" t="n">
        <v>68</v>
      </c>
      <c r="J6" s="5" t="n">
        <v>1200</v>
      </c>
      <c r="K6" s="5" t="n">
        <v>720</v>
      </c>
      <c r="L6" s="8" t="b">
        <f aca="false">TRUE()</f>
        <v>1</v>
      </c>
      <c r="M6" s="5" t="n">
        <f aca="false">IF(L6,(E6+D6)/2,E6)/J6*C6</f>
        <v>33.4583333333333</v>
      </c>
      <c r="N6" s="5" t="n">
        <f aca="false">IF(L6,(G6+F6)/2,G6)/K6*C6</f>
        <v>44.6111111111111</v>
      </c>
      <c r="O6" s="5" t="n">
        <f aca="false">IF(L6,(I6+H6)/2,I6)/K6*C6</f>
        <v>33.7118055555556</v>
      </c>
      <c r="P6" s="5" t="n">
        <f aca="false">M6+N6-O6</f>
        <v>44.3576388888889</v>
      </c>
      <c r="Q6" s="9" t="s">
        <v>39</v>
      </c>
    </row>
    <row r="7" customFormat="false" ht="30" hidden="false" customHeight="true" outlineLevel="0" collapsed="false">
      <c r="A7" s="3" t="s">
        <v>38</v>
      </c>
      <c r="B7" s="7" t="n">
        <v>2024</v>
      </c>
      <c r="C7" s="7" t="n">
        <v>366</v>
      </c>
      <c r="D7" s="5" t="n">
        <v>115</v>
      </c>
      <c r="E7" s="5" t="n">
        <v>120</v>
      </c>
      <c r="F7" s="5" t="n">
        <v>86</v>
      </c>
      <c r="G7" s="5" t="n">
        <v>88</v>
      </c>
      <c r="H7" s="5" t="n">
        <v>68</v>
      </c>
      <c r="I7" s="5" t="n">
        <v>70</v>
      </c>
      <c r="J7" s="5" t="n">
        <v>1250</v>
      </c>
      <c r="K7" s="5" t="n">
        <v>750</v>
      </c>
      <c r="L7" s="8" t="b">
        <f aca="false">TRUE()</f>
        <v>1</v>
      </c>
      <c r="M7" s="5" t="n">
        <f aca="false">IF(L7,(E7+D7)/2,E7)/J7*C7</f>
        <v>34.404</v>
      </c>
      <c r="N7" s="5" t="n">
        <f aca="false">IF(L7,(G7+F7)/2,G7)/K7*C7</f>
        <v>42.456</v>
      </c>
      <c r="O7" s="5" t="n">
        <f aca="false">IF(L7,(I7+H7)/2,I7)/K7*C7</f>
        <v>33.672</v>
      </c>
      <c r="P7" s="5" t="n">
        <f aca="false">M7+N7-O7</f>
        <v>43.188</v>
      </c>
      <c r="Q7" s="9" t="s">
        <v>39</v>
      </c>
    </row>
    <row r="8" customFormat="false" ht="30" hidden="false" customHeight="true" outlineLevel="0" collapsed="false">
      <c r="A8" s="3" t="s">
        <v>40</v>
      </c>
      <c r="B8" s="7" t="n">
        <v>2020</v>
      </c>
      <c r="C8" s="7" t="n">
        <v>366</v>
      </c>
      <c r="D8" s="5" t="n">
        <v>180</v>
      </c>
      <c r="E8" s="5" t="n">
        <v>200</v>
      </c>
      <c r="F8" s="5" t="n">
        <v>140</v>
      </c>
      <c r="G8" s="5" t="n">
        <v>160</v>
      </c>
      <c r="H8" s="5" t="n">
        <v>100</v>
      </c>
      <c r="I8" s="5" t="n">
        <v>120</v>
      </c>
      <c r="J8" s="5" t="n">
        <v>2000</v>
      </c>
      <c r="K8" s="5" t="n">
        <v>1200</v>
      </c>
      <c r="L8" s="8" t="b">
        <f aca="false">TRUE()</f>
        <v>1</v>
      </c>
      <c r="M8" s="5" t="n">
        <f aca="false">IF(L8,(E8+D8)/2,E8)/J8*C8</f>
        <v>34.77</v>
      </c>
      <c r="N8" s="5" t="n">
        <f aca="false">IF(L8,(G8+F8)/2,G8)/K8*C8</f>
        <v>45.75</v>
      </c>
      <c r="O8" s="5" t="n">
        <f aca="false">IF(L8,(I8+H8)/2,I8)/K8*C8</f>
        <v>33.55</v>
      </c>
      <c r="P8" s="5" t="n">
        <f aca="false">M8+N8-O8</f>
        <v>46.97</v>
      </c>
      <c r="Q8" s="9" t="s">
        <v>39</v>
      </c>
    </row>
    <row r="9" customFormat="false" ht="30" hidden="false" customHeight="true" outlineLevel="0" collapsed="false">
      <c r="A9" s="3" t="s">
        <v>40</v>
      </c>
      <c r="B9" s="7" t="n">
        <v>2021</v>
      </c>
      <c r="C9" s="7" t="n">
        <v>365</v>
      </c>
      <c r="D9" s="5" t="n">
        <v>200</v>
      </c>
      <c r="E9" s="5" t="n">
        <v>220</v>
      </c>
      <c r="F9" s="5" t="n">
        <v>160</v>
      </c>
      <c r="G9" s="5" t="n">
        <v>168</v>
      </c>
      <c r="H9" s="5" t="n">
        <v>120</v>
      </c>
      <c r="I9" s="5" t="n">
        <v>124</v>
      </c>
      <c r="J9" s="5" t="n">
        <v>2200</v>
      </c>
      <c r="K9" s="5" t="n">
        <v>1320</v>
      </c>
      <c r="L9" s="8" t="b">
        <f aca="false">TRUE()</f>
        <v>1</v>
      </c>
      <c r="M9" s="5" t="n">
        <f aca="false">IF(L9,(E9+D9)/2,E9)/J9*C9</f>
        <v>34.8409090909091</v>
      </c>
      <c r="N9" s="5" t="n">
        <f aca="false">IF(L9,(G9+F9)/2,G9)/K9*C9</f>
        <v>45.3484848484848</v>
      </c>
      <c r="O9" s="5" t="n">
        <f aca="false">IF(L9,(I9+H9)/2,I9)/K9*C9</f>
        <v>33.7348484848485</v>
      </c>
      <c r="P9" s="5" t="n">
        <f aca="false">M9+N9-O9</f>
        <v>46.4545454545455</v>
      </c>
      <c r="Q9" s="9" t="s">
        <v>39</v>
      </c>
    </row>
    <row r="10" customFormat="false" ht="30" hidden="false" customHeight="true" outlineLevel="0" collapsed="false">
      <c r="A10" s="3" t="s">
        <v>40</v>
      </c>
      <c r="B10" s="7" t="n">
        <v>2022</v>
      </c>
      <c r="C10" s="7" t="n">
        <v>365</v>
      </c>
      <c r="D10" s="5" t="n">
        <v>220</v>
      </c>
      <c r="E10" s="5" t="n">
        <v>210</v>
      </c>
      <c r="F10" s="5" t="n">
        <v>168</v>
      </c>
      <c r="G10" s="5" t="n">
        <v>180</v>
      </c>
      <c r="H10" s="5" t="n">
        <v>124</v>
      </c>
      <c r="I10" s="5" t="n">
        <v>130</v>
      </c>
      <c r="J10" s="5" t="n">
        <v>2300</v>
      </c>
      <c r="K10" s="5" t="n">
        <v>1380</v>
      </c>
      <c r="L10" s="8" t="b">
        <f aca="false">TRUE()</f>
        <v>1</v>
      </c>
      <c r="M10" s="5" t="n">
        <f aca="false">IF(L10,(E10+D10)/2,E10)/J10*C10</f>
        <v>34.1195652173913</v>
      </c>
      <c r="N10" s="5" t="n">
        <f aca="false">IF(L10,(G10+F10)/2,G10)/K10*C10</f>
        <v>46.0217391304348</v>
      </c>
      <c r="O10" s="5" t="n">
        <f aca="false">IF(L10,(I10+H10)/2,I10)/K10*C10</f>
        <v>33.5905797101449</v>
      </c>
      <c r="P10" s="5" t="n">
        <f aca="false">M10+N10-O10</f>
        <v>46.5507246376812</v>
      </c>
      <c r="Q10" s="9" t="s">
        <v>39</v>
      </c>
    </row>
    <row r="11" customFormat="false" ht="30" hidden="false" customHeight="true" outlineLevel="0" collapsed="false">
      <c r="A11" s="3" t="s">
        <v>40</v>
      </c>
      <c r="B11" s="7" t="n">
        <v>2023</v>
      </c>
      <c r="C11" s="7" t="n">
        <v>365</v>
      </c>
      <c r="D11" s="5" t="n">
        <v>210</v>
      </c>
      <c r="E11" s="5" t="n">
        <v>230</v>
      </c>
      <c r="F11" s="5" t="n">
        <v>180</v>
      </c>
      <c r="G11" s="5" t="n">
        <v>172</v>
      </c>
      <c r="H11" s="5" t="n">
        <v>130</v>
      </c>
      <c r="I11" s="5" t="n">
        <v>136</v>
      </c>
      <c r="J11" s="5" t="n">
        <v>2400</v>
      </c>
      <c r="K11" s="5" t="n">
        <v>1440</v>
      </c>
      <c r="L11" s="8" t="b">
        <f aca="false">TRUE()</f>
        <v>1</v>
      </c>
      <c r="M11" s="5" t="n">
        <f aca="false">IF(L11,(E11+D11)/2,E11)/J11*C11</f>
        <v>33.4583333333333</v>
      </c>
      <c r="N11" s="5" t="n">
        <f aca="false">IF(L11,(G11+F11)/2,G11)/K11*C11</f>
        <v>44.6111111111111</v>
      </c>
      <c r="O11" s="5" t="n">
        <f aca="false">IF(L11,(I11+H11)/2,I11)/K11*C11</f>
        <v>33.7118055555556</v>
      </c>
      <c r="P11" s="5" t="n">
        <f aca="false">M11+N11-O11</f>
        <v>44.3576388888889</v>
      </c>
      <c r="Q11" s="9" t="s">
        <v>39</v>
      </c>
    </row>
    <row r="12" customFormat="false" ht="30" hidden="false" customHeight="true" outlineLevel="0" collapsed="false">
      <c r="A12" s="3" t="s">
        <v>40</v>
      </c>
      <c r="B12" s="7" t="n">
        <v>2024</v>
      </c>
      <c r="C12" s="7" t="n">
        <v>366</v>
      </c>
      <c r="D12" s="5" t="n">
        <v>230</v>
      </c>
      <c r="E12" s="5" t="n">
        <v>240</v>
      </c>
      <c r="F12" s="5" t="n">
        <v>172</v>
      </c>
      <c r="G12" s="5" t="n">
        <v>176</v>
      </c>
      <c r="H12" s="5" t="n">
        <v>136</v>
      </c>
      <c r="I12" s="5" t="n">
        <v>140</v>
      </c>
      <c r="J12" s="5" t="n">
        <v>2500</v>
      </c>
      <c r="K12" s="5" t="n">
        <v>1500</v>
      </c>
      <c r="L12" s="8" t="b">
        <f aca="false">TRUE()</f>
        <v>1</v>
      </c>
      <c r="M12" s="5" t="n">
        <f aca="false">IF(L12,(E12+D12)/2,E12)/J12*C12</f>
        <v>34.404</v>
      </c>
      <c r="N12" s="5" t="n">
        <f aca="false">IF(L12,(G12+F12)/2,G12)/K12*C12</f>
        <v>42.456</v>
      </c>
      <c r="O12" s="5" t="n">
        <f aca="false">IF(L12,(I12+H12)/2,I12)/K12*C12</f>
        <v>33.672</v>
      </c>
      <c r="P12" s="5" t="n">
        <f aca="false">M12+N12-O12</f>
        <v>43.188</v>
      </c>
      <c r="Q12" s="9" t="s">
        <v>39</v>
      </c>
    </row>
    <row r="13" customFormat="false" ht="30" hidden="false" customHeight="true" outlineLevel="0" collapsed="false">
      <c r="A13" s="3" t="s">
        <v>41</v>
      </c>
      <c r="B13" s="7" t="n">
        <v>2020</v>
      </c>
      <c r="C13" s="7" t="n">
        <v>366</v>
      </c>
      <c r="D13" s="5" t="n">
        <v>270</v>
      </c>
      <c r="E13" s="5" t="n">
        <v>300</v>
      </c>
      <c r="F13" s="5" t="n">
        <v>210</v>
      </c>
      <c r="G13" s="5" t="n">
        <v>240</v>
      </c>
      <c r="H13" s="5" t="n">
        <v>150</v>
      </c>
      <c r="I13" s="5" t="n">
        <v>180</v>
      </c>
      <c r="J13" s="5" t="n">
        <v>3000</v>
      </c>
      <c r="K13" s="5" t="n">
        <v>1800</v>
      </c>
      <c r="L13" s="8" t="b">
        <f aca="false">TRUE()</f>
        <v>1</v>
      </c>
      <c r="M13" s="5" t="n">
        <f aca="false">IF(L13,(E13+D13)/2,E13)/J13*C13</f>
        <v>34.77</v>
      </c>
      <c r="N13" s="5" t="n">
        <f aca="false">IF(L13,(G13+F13)/2,G13)/K13*C13</f>
        <v>45.75</v>
      </c>
      <c r="O13" s="5" t="n">
        <f aca="false">IF(L13,(I13+H13)/2,I13)/K13*C13</f>
        <v>33.55</v>
      </c>
      <c r="P13" s="5" t="n">
        <f aca="false">M13+N13-O13</f>
        <v>46.97</v>
      </c>
      <c r="Q13" s="9" t="s">
        <v>39</v>
      </c>
    </row>
    <row r="14" customFormat="false" ht="30" hidden="false" customHeight="true" outlineLevel="0" collapsed="false">
      <c r="A14" s="3" t="s">
        <v>41</v>
      </c>
      <c r="B14" s="7" t="n">
        <v>2021</v>
      </c>
      <c r="C14" s="7" t="n">
        <v>365</v>
      </c>
      <c r="D14" s="5" t="n">
        <v>300</v>
      </c>
      <c r="E14" s="5" t="n">
        <v>330</v>
      </c>
      <c r="F14" s="5" t="n">
        <v>240</v>
      </c>
      <c r="G14" s="5" t="n">
        <v>252</v>
      </c>
      <c r="H14" s="5" t="n">
        <v>180</v>
      </c>
      <c r="I14" s="5" t="n">
        <v>186</v>
      </c>
      <c r="J14" s="5" t="n">
        <v>3300</v>
      </c>
      <c r="K14" s="5" t="n">
        <v>1980</v>
      </c>
      <c r="L14" s="8" t="b">
        <f aca="false">TRUE()</f>
        <v>1</v>
      </c>
      <c r="M14" s="5" t="n">
        <f aca="false">IF(L14,(E14+D14)/2,E14)/J14*C14</f>
        <v>34.8409090909091</v>
      </c>
      <c r="N14" s="5" t="n">
        <f aca="false">IF(L14,(G14+F14)/2,G14)/K14*C14</f>
        <v>45.3484848484848</v>
      </c>
      <c r="O14" s="5" t="n">
        <f aca="false">IF(L14,(I14+H14)/2,I14)/K14*C14</f>
        <v>33.7348484848485</v>
      </c>
      <c r="P14" s="5" t="n">
        <f aca="false">M14+N14-O14</f>
        <v>46.4545454545455</v>
      </c>
      <c r="Q14" s="9" t="s">
        <v>39</v>
      </c>
    </row>
    <row r="15" customFormat="false" ht="30" hidden="false" customHeight="true" outlineLevel="0" collapsed="false">
      <c r="A15" s="3" t="s">
        <v>41</v>
      </c>
      <c r="B15" s="7" t="n">
        <v>2022</v>
      </c>
      <c r="C15" s="7" t="n">
        <v>365</v>
      </c>
      <c r="D15" s="5" t="n">
        <v>330</v>
      </c>
      <c r="E15" s="5" t="n">
        <v>315</v>
      </c>
      <c r="F15" s="5" t="n">
        <v>252</v>
      </c>
      <c r="G15" s="5" t="n">
        <v>270</v>
      </c>
      <c r="H15" s="5" t="n">
        <v>186</v>
      </c>
      <c r="I15" s="5" t="n">
        <v>195</v>
      </c>
      <c r="J15" s="5" t="n">
        <v>3450</v>
      </c>
      <c r="K15" s="5" t="n">
        <v>2070</v>
      </c>
      <c r="L15" s="8" t="b">
        <f aca="false">TRUE()</f>
        <v>1</v>
      </c>
      <c r="M15" s="5" t="n">
        <f aca="false">IF(L15,(E15+D15)/2,E15)/J15*C15</f>
        <v>34.1195652173913</v>
      </c>
      <c r="N15" s="5" t="n">
        <f aca="false">IF(L15,(G15+F15)/2,G15)/K15*C15</f>
        <v>46.0217391304348</v>
      </c>
      <c r="O15" s="5" t="n">
        <f aca="false">IF(L15,(I15+H15)/2,I15)/K15*C15</f>
        <v>33.5905797101449</v>
      </c>
      <c r="P15" s="5" t="n">
        <f aca="false">M15+N15-O15</f>
        <v>46.5507246376812</v>
      </c>
      <c r="Q15" s="9" t="s">
        <v>39</v>
      </c>
    </row>
    <row r="16" customFormat="false" ht="30" hidden="false" customHeight="true" outlineLevel="0" collapsed="false">
      <c r="A16" s="3" t="s">
        <v>41</v>
      </c>
      <c r="B16" s="7" t="n">
        <v>2023</v>
      </c>
      <c r="C16" s="7" t="n">
        <v>365</v>
      </c>
      <c r="D16" s="5" t="n">
        <v>315</v>
      </c>
      <c r="E16" s="5" t="n">
        <v>345</v>
      </c>
      <c r="F16" s="5" t="n">
        <v>270</v>
      </c>
      <c r="G16" s="5" t="n">
        <v>258</v>
      </c>
      <c r="H16" s="5" t="n">
        <v>195</v>
      </c>
      <c r="I16" s="5" t="n">
        <v>204</v>
      </c>
      <c r="J16" s="5" t="n">
        <v>3600</v>
      </c>
      <c r="K16" s="5" t="n">
        <v>2160</v>
      </c>
      <c r="L16" s="8" t="b">
        <f aca="false">TRUE()</f>
        <v>1</v>
      </c>
      <c r="M16" s="5" t="n">
        <f aca="false">IF(L16,(E16+D16)/2,E16)/J16*C16</f>
        <v>33.4583333333333</v>
      </c>
      <c r="N16" s="5" t="n">
        <f aca="false">IF(L16,(G16+F16)/2,G16)/K16*C16</f>
        <v>44.6111111111111</v>
      </c>
      <c r="O16" s="5" t="n">
        <f aca="false">IF(L16,(I16+H16)/2,I16)/K16*C16</f>
        <v>33.7118055555556</v>
      </c>
      <c r="P16" s="5" t="n">
        <f aca="false">M16+N16-O16</f>
        <v>44.3576388888889</v>
      </c>
      <c r="Q16" s="9" t="s">
        <v>39</v>
      </c>
    </row>
    <row r="17" customFormat="false" ht="30" hidden="false" customHeight="true" outlineLevel="0" collapsed="false">
      <c r="A17" s="3" t="s">
        <v>41</v>
      </c>
      <c r="B17" s="7" t="n">
        <v>2024</v>
      </c>
      <c r="C17" s="7" t="n">
        <v>366</v>
      </c>
      <c r="D17" s="5" t="n">
        <v>345</v>
      </c>
      <c r="E17" s="5" t="n">
        <v>360</v>
      </c>
      <c r="F17" s="5" t="n">
        <v>258</v>
      </c>
      <c r="G17" s="5" t="n">
        <v>264</v>
      </c>
      <c r="H17" s="5" t="n">
        <v>204</v>
      </c>
      <c r="I17" s="5" t="n">
        <v>210</v>
      </c>
      <c r="J17" s="5" t="n">
        <v>3750</v>
      </c>
      <c r="K17" s="5" t="n">
        <v>2250</v>
      </c>
      <c r="L17" s="8" t="b">
        <f aca="false">TRUE()</f>
        <v>1</v>
      </c>
      <c r="M17" s="5" t="n">
        <f aca="false">IF(L17,(E17+D17)/2,E17)/J17*C17</f>
        <v>34.404</v>
      </c>
      <c r="N17" s="5" t="n">
        <f aca="false">IF(L17,(G17+F17)/2,G17)/K17*C17</f>
        <v>42.456</v>
      </c>
      <c r="O17" s="5" t="n">
        <f aca="false">IF(L17,(I17+H17)/2,I17)/K17*C17</f>
        <v>33.672</v>
      </c>
      <c r="P17" s="5" t="n">
        <f aca="false">M17+N17-O17</f>
        <v>43.188</v>
      </c>
      <c r="Q17" s="9" t="s">
        <v>39</v>
      </c>
    </row>
  </sheetData>
  <autoFilter ref="A2:Q17"/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5" min="1" style="0" width="1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</row>
    <row r="3" customFormat="false" ht="15" hidden="false" customHeight="true" outlineLevel="0" collapsed="false">
      <c r="A3" s="6" t="n">
        <v>0.02</v>
      </c>
      <c r="B3" s="7" t="n">
        <v>10</v>
      </c>
      <c r="C3" s="7" t="n">
        <v>30</v>
      </c>
      <c r="D3" s="6" t="n">
        <f aca="false">A3/(1-A3)*365/(C3-B3)</f>
        <v>0.372448979591837</v>
      </c>
      <c r="E3" s="6" t="n">
        <v>0.06</v>
      </c>
    </row>
  </sheetData>
  <autoFilter ref="A2:E3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</row>
    <row r="3" customFormat="false" ht="15" hidden="false" customHeight="true" outlineLevel="0" collapsed="false">
      <c r="A3" s="10" t="n">
        <v>45748</v>
      </c>
      <c r="B3" s="5" t="n">
        <v>1000000</v>
      </c>
      <c r="C3" s="6" t="n">
        <v>0.25</v>
      </c>
      <c r="D3" s="11" t="n">
        <f aca="false">ROUNDDOWN(B3*C3,0)</f>
        <v>250000</v>
      </c>
      <c r="E3" s="11" t="n">
        <v>10000</v>
      </c>
      <c r="F3" s="5" t="n">
        <v>50</v>
      </c>
      <c r="G3" s="5" t="n">
        <v>500000</v>
      </c>
    </row>
  </sheetData>
  <autoFilter ref="A2:G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2026-10-21T14:55:57Z</dcterms:created>
  <dc:creator>Yazad Madan</dc:creator>
  <dc:description/>
  <dc:language>en-US</dc:language>
  <cp:lastModifiedBy>Yazad Madan</cp:lastModifiedBy>
  <dcterms:modified xsi:type="dcterms:W3CDTF">2026-10-21T14:55:57Z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